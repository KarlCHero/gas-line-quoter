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 $ per m" sheetId="1" state="visible" r:id="rId1"/>
    <sheet name="Supplier comparison" sheetId="2" state="visible" r:id="rId2"/>
    <sheet name="Appliances &amp; Meter" sheetId="3" state="visible" r:id="rId3"/>
    <sheet name="App config output" sheetId="4" state="visible" r:id="rId4"/>
    <sheet name="PEX (Stesso) fu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&quot;%&quot;"/>
  </numFmts>
  <fonts count="10">
    <font>
      <name val="Calibri"/>
      <family val="2"/>
      <color theme="1"/>
      <sz val="11"/>
      <scheme val="minor"/>
    </font>
    <font>
      <name val="Arial"/>
      <b val="1"/>
      <color rgb="00E04D12"/>
      <sz val="13"/>
    </font>
    <font>
      <name val="Arial"/>
      <i val="1"/>
      <color rgb="00667085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i val="1"/>
      <color rgb="00B45309"/>
      <sz val="9"/>
    </font>
    <font>
      <name val="Arial"/>
      <b val="1"/>
      <color rgb="00E04D12"/>
      <sz val="12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04D12"/>
      </patternFill>
    </fill>
    <fill>
      <patternFill patternType="solid">
        <fgColor rgb="00FFF2ED"/>
      </patternFill>
    </fill>
    <fill>
      <patternFill patternType="solid">
        <fgColor rgb="00EAFAF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9" fontId="5" fillId="2" borderId="1" pivotButton="0" quotePrefix="0" xfId="0"/>
    <xf numFmtId="0" fontId="6" fillId="3" borderId="1" applyAlignment="1" pivotButton="0" quotePrefix="0" xfId="0">
      <alignment horizontal="center" wrapText="1"/>
    </xf>
    <xf numFmtId="164" fontId="5" fillId="2" borderId="1" pivotButton="0" quotePrefix="0" xfId="0"/>
    <xf numFmtId="164" fontId="5" fillId="0" borderId="1" pivotButton="0" quotePrefix="0" xfId="0"/>
    <xf numFmtId="164" fontId="0" fillId="0" borderId="1" pivotButton="0" quotePrefix="0" xfId="0"/>
    <xf numFmtId="164" fontId="3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164" fontId="0" fillId="4" borderId="1" pivotButton="0" quotePrefix="0" xfId="0"/>
    <xf numFmtId="164" fontId="0" fillId="4" borderId="0" pivotButton="0" quotePrefix="0" xfId="0"/>
    <xf numFmtId="164" fontId="5" fillId="0" borderId="0" pivotButton="0" quotePrefix="0" xfId="0"/>
    <xf numFmtId="164" fontId="9" fillId="0" borderId="0" pivotButton="0" quotePrefix="0" xfId="0"/>
    <xf numFmtId="165" fontId="5" fillId="0" borderId="0" pivotButton="0" quotePrefix="0" xfId="0"/>
    <xf numFmtId="9" fontId="9" fillId="0" borderId="0" pivotButton="0" quotePrefix="0" xfId="0"/>
    <xf numFmtId="0" fontId="6" fillId="3" borderId="1" pivotButton="0" quotePrefix="0" xfId="0"/>
    <xf numFmtId="164" fontId="0" fillId="0" borderId="0" pivotButton="0" quotePrefix="0" xfId="0"/>
    <xf numFmtId="164" fontId="4" fillId="0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1" customWidth="1" min="5" max="5"/>
    <col width="9" customWidth="1" min="6" max="6"/>
    <col width="11" customWidth="1" min="7" max="7"/>
    <col width="13" customWidth="1" min="8" max="8"/>
    <col width="16" customWidth="1" min="9" max="9"/>
    <col width="17" customWidth="1" min="10" max="10"/>
  </cols>
  <sheetData>
    <row r="1">
      <c r="A1" s="1" t="inlineStr">
        <is>
          <t>CheckHero — Gas Copper Rate Build-up (from Samios Geelong trade prices, ex GST)</t>
        </is>
      </c>
    </row>
    <row r="2">
      <c r="A2" s="2" t="inlineStr">
        <is>
          <t>Blue = input (real Samios cost / your assumption) · Black = formula · Yellow = confirm. The tool applies margin, so feed the ALL-IN COST column into the app.</t>
        </is>
      </c>
    </row>
    <row r="4">
      <c r="A4" s="3" t="inlineStr">
        <is>
          <t>Assumptions</t>
        </is>
      </c>
    </row>
    <row r="5">
      <c r="A5" s="4" t="inlineStr">
        <is>
          <t>Clip / support spacing (m)</t>
        </is>
      </c>
      <c r="B5" s="5" t="n">
        <v>1.5</v>
      </c>
    </row>
    <row r="6">
      <c r="A6" s="4" t="inlineStr">
        <is>
          <t>One elbow every (m)</t>
        </is>
      </c>
      <c r="B6" s="5" t="n">
        <v>4</v>
      </c>
    </row>
    <row r="7">
      <c r="A7" s="4" t="inlineStr">
        <is>
          <t>One coupler every (m)</t>
        </is>
      </c>
      <c r="B7" s="5" t="n">
        <v>6</v>
      </c>
    </row>
    <row r="8">
      <c r="A8" s="4" t="inlineStr">
        <is>
          <t>One tee every (m)</t>
        </is>
      </c>
      <c r="B8" s="5" t="n">
        <v>20</v>
      </c>
    </row>
    <row r="9">
      <c r="A9" s="4" t="inlineStr">
        <is>
          <t>Margin (for reference sell price)</t>
        </is>
      </c>
      <c r="B9" s="6" t="n">
        <v>0.2</v>
      </c>
    </row>
    <row r="12">
      <c r="A12" s="7" t="inlineStr">
        <is>
          <t>DN</t>
        </is>
      </c>
      <c r="B12" s="7" t="inlineStr">
        <is>
          <t>Pipe $/m</t>
        </is>
      </c>
      <c r="C12" s="7" t="inlineStr">
        <is>
          <t>Clip $ ea</t>
        </is>
      </c>
      <c r="D12" s="7" t="inlineStr">
        <is>
          <t>Elbow $</t>
        </is>
      </c>
      <c r="E12" s="7" t="inlineStr">
        <is>
          <t>Coupler $</t>
        </is>
      </c>
      <c r="F12" s="7" t="inlineStr">
        <is>
          <t>Tee $</t>
        </is>
      </c>
      <c r="G12" s="7" t="inlineStr">
        <is>
          <t>Clips $/m</t>
        </is>
      </c>
      <c r="H12" s="7" t="inlineStr">
        <is>
          <t>Fittings $/m</t>
        </is>
      </c>
      <c r="I12" s="7" t="inlineStr">
        <is>
          <t>ALL-IN COST $/m</t>
        </is>
      </c>
      <c r="J12" s="7" t="inlineStr">
        <is>
          <t>Sell $/m (+margin)</t>
        </is>
      </c>
    </row>
    <row r="13">
      <c r="A13" s="3" t="inlineStr">
        <is>
          <t>DN15</t>
        </is>
      </c>
      <c r="B13" s="8" t="n">
        <v>7.32</v>
      </c>
      <c r="C13" s="9" t="n">
        <v>0.54</v>
      </c>
      <c r="D13" s="9" t="n">
        <v>3.01</v>
      </c>
      <c r="E13" s="9" t="n">
        <v>2</v>
      </c>
      <c r="F13" s="9" t="n">
        <v>5.41</v>
      </c>
      <c r="G13" s="10">
        <f>C13/$B$5</f>
        <v/>
      </c>
      <c r="H13" s="10">
        <f>D13/$B$6+E13/$B$7+F13/$B$8</f>
        <v/>
      </c>
      <c r="I13" s="11">
        <f>B13+G13+H13</f>
        <v/>
      </c>
      <c r="J13" s="10">
        <f>I13*(1+$B$9)</f>
        <v/>
      </c>
      <c r="L13" s="12" t="inlineStr">
        <is>
          <t>← confirm Samios SKU for DN15 (12mm stick?)</t>
        </is>
      </c>
    </row>
    <row r="14">
      <c r="A14" s="3" t="inlineStr">
        <is>
          <t>DN20</t>
        </is>
      </c>
      <c r="B14" s="9" t="n">
        <v>11.48</v>
      </c>
      <c r="C14" s="9" t="n">
        <v>0.5600000000000001</v>
      </c>
      <c r="D14" s="9" t="n">
        <v>4.82</v>
      </c>
      <c r="E14" s="9" t="n">
        <v>3.27</v>
      </c>
      <c r="F14" s="9" t="n">
        <v>8.48</v>
      </c>
      <c r="G14" s="10">
        <f>C14/$B$5</f>
        <v/>
      </c>
      <c r="H14" s="10">
        <f>D14/$B$6+E14/$B$7+F14/$B$8</f>
        <v/>
      </c>
      <c r="I14" s="11">
        <f>B14+G14+H14</f>
        <v/>
      </c>
      <c r="J14" s="10">
        <f>I14*(1+$B$9)</f>
        <v/>
      </c>
    </row>
    <row r="15">
      <c r="A15" s="3" t="inlineStr">
        <is>
          <t>DN25</t>
        </is>
      </c>
      <c r="B15" s="9" t="n">
        <v>17.2</v>
      </c>
      <c r="C15" s="9" t="n">
        <v>0.92</v>
      </c>
      <c r="D15" s="9" t="n">
        <v>6.72</v>
      </c>
      <c r="E15" s="9" t="n">
        <v>4.69</v>
      </c>
      <c r="F15" s="9" t="n">
        <v>12.44</v>
      </c>
      <c r="G15" s="10">
        <f>C15/$B$5</f>
        <v/>
      </c>
      <c r="H15" s="10">
        <f>D15/$B$6+E15/$B$7+F15/$B$8</f>
        <v/>
      </c>
      <c r="I15" s="11">
        <f>B15+G15+H15</f>
        <v/>
      </c>
      <c r="J15" s="10">
        <f>I15*(1+$B$9)</f>
        <v/>
      </c>
    </row>
    <row r="16">
      <c r="A16" s="3" t="inlineStr">
        <is>
          <t>DN32</t>
        </is>
      </c>
      <c r="B16" s="9" t="n">
        <v>25.5</v>
      </c>
      <c r="C16" s="9" t="n">
        <v>1.7</v>
      </c>
      <c r="D16" s="9" t="n">
        <v>9.08</v>
      </c>
      <c r="E16" s="9" t="n">
        <v>6.81</v>
      </c>
      <c r="F16" s="9" t="n">
        <v>16.27</v>
      </c>
      <c r="G16" s="10">
        <f>C16/$B$5</f>
        <v/>
      </c>
      <c r="H16" s="10">
        <f>D16/$B$6+E16/$B$7+F16/$B$8</f>
        <v/>
      </c>
      <c r="I16" s="11">
        <f>B16+G16+H16</f>
        <v/>
      </c>
      <c r="J16" s="10">
        <f>I16*(1+$B$9)</f>
        <v/>
      </c>
    </row>
    <row r="17">
      <c r="A17" s="3" t="inlineStr">
        <is>
          <t>DN40</t>
        </is>
      </c>
      <c r="B17" s="9" t="n">
        <v>31.69</v>
      </c>
      <c r="C17" s="9" t="n">
        <v>1.48</v>
      </c>
      <c r="D17" s="9" t="n">
        <v>10.95</v>
      </c>
      <c r="E17" s="9" t="n">
        <v>9.880000000000001</v>
      </c>
      <c r="F17" s="9" t="n">
        <v>19.93</v>
      </c>
      <c r="G17" s="10">
        <f>C17/$B$5</f>
        <v/>
      </c>
      <c r="H17" s="10">
        <f>D17/$B$6+E17/$B$7+F17/$B$8</f>
        <v/>
      </c>
      <c r="I17" s="11">
        <f>B17+G17+H17</f>
        <v/>
      </c>
      <c r="J17" s="10">
        <f>I17*(1+$B$9)</f>
        <v/>
      </c>
    </row>
    <row r="18">
      <c r="A18" s="3" t="inlineStr">
        <is>
          <t>DN50</t>
        </is>
      </c>
      <c r="B18" s="9" t="n">
        <v>42.17</v>
      </c>
      <c r="C18" s="9" t="n">
        <v>2.12</v>
      </c>
      <c r="D18" s="9" t="n">
        <v>31.17</v>
      </c>
      <c r="E18" s="9" t="n">
        <v>21.77</v>
      </c>
      <c r="F18" s="9" t="n">
        <v>41.75</v>
      </c>
      <c r="G18" s="10">
        <f>C18/$B$5</f>
        <v/>
      </c>
      <c r="H18" s="10">
        <f>D18/$B$6+E18/$B$7+F18/$B$8</f>
        <v/>
      </c>
      <c r="I18" s="11">
        <f>B18+G18+H18</f>
        <v/>
      </c>
      <c r="J18" s="10">
        <f>I18*(1+$B$9)</f>
        <v/>
      </c>
    </row>
    <row r="20">
      <c r="A20" s="2" t="inlineStr">
        <is>
          <t>Sources: Samios Geelong price file (ex GST). Pipe = 6m stick ÷ 6. Clips = cliphead bolted CU. Fittings = standard press-gas (CU PRESS GAS) elbow/coupler/tee.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3" customWidth="1" min="5" max="5"/>
    <col width="20" customWidth="1" min="6" max="6"/>
    <col width="11" customWidth="1" min="7" max="7"/>
    <col width="11" customWidth="1" min="8" max="8"/>
  </cols>
  <sheetData>
    <row r="1">
      <c r="A1" s="13" t="inlineStr">
        <is>
          <t>Samios vs Reece — trade cost ex GST (lower = your buy price)</t>
        </is>
      </c>
    </row>
    <row r="2">
      <c r="A2" s="2" t="inlineStr">
        <is>
          <t>Samios is cheaper on copper and gas press-fittings across every size, so the app rates use the Samios basis. Reece = dearer backup.</t>
        </is>
      </c>
    </row>
    <row r="4">
      <c r="A4" s="3" t="inlineStr">
        <is>
          <t>Copper Type B — $/m (6 m stick ÷ length)</t>
        </is>
      </c>
      <c r="F4" s="3" t="inlineStr">
        <is>
          <t>Gas isolation ball valve (appliance) — $ ea</t>
        </is>
      </c>
    </row>
    <row r="5">
      <c r="A5" s="7" t="inlineStr">
        <is>
          <t>DN</t>
        </is>
      </c>
      <c r="B5" s="7" t="inlineStr">
        <is>
          <t>Samios $/m</t>
        </is>
      </c>
      <c r="C5" s="7" t="inlineStr">
        <is>
          <t>Reece $/m</t>
        </is>
      </c>
      <c r="D5" s="7" t="inlineStr">
        <is>
          <t>Cheaper</t>
        </is>
      </c>
      <c r="F5" s="20" t="inlineStr">
        <is>
          <t>Item</t>
        </is>
      </c>
      <c r="G5" s="20" t="inlineStr">
        <is>
          <t>Samios $</t>
        </is>
      </c>
      <c r="H5" s="20" t="inlineStr">
        <is>
          <t>Reece $</t>
        </is>
      </c>
    </row>
    <row r="6">
      <c r="A6" s="3" t="inlineStr">
        <is>
          <t>DN15</t>
        </is>
      </c>
      <c r="B6" s="9" t="n">
        <v>7.32</v>
      </c>
      <c r="C6" s="9" t="n">
        <v>8.93</v>
      </c>
      <c r="D6" s="23">
        <f>IF(ISNUMBER(C6),IF(B6&lt;=C6,"Samios","Reece"),"Samios")</f>
        <v/>
      </c>
      <c r="F6" s="4" t="inlineStr">
        <is>
          <t>Ball valve 15mm</t>
        </is>
      </c>
      <c r="G6" s="9" t="n">
        <v>10.44</v>
      </c>
      <c r="H6" s="9" t="n">
        <v>8.43</v>
      </c>
    </row>
    <row r="7">
      <c r="A7" s="3" t="inlineStr">
        <is>
          <t>DN20</t>
        </is>
      </c>
      <c r="B7" s="9" t="n">
        <v>11.48</v>
      </c>
      <c r="C7" s="9" t="n">
        <v>15.06</v>
      </c>
      <c r="D7" s="23">
        <f>IF(ISNUMBER(C7),IF(B7&lt;=C7,"Samios","Reece"),"Samios")</f>
        <v/>
      </c>
      <c r="F7" s="4" t="inlineStr">
        <is>
          <t>Ball valve 20mm</t>
        </is>
      </c>
      <c r="G7" s="9" t="n">
        <v>26.06</v>
      </c>
      <c r="H7" s="9" t="n">
        <v>13</v>
      </c>
    </row>
    <row r="8">
      <c r="A8" s="3" t="inlineStr">
        <is>
          <t>DN25</t>
        </is>
      </c>
      <c r="B8" s="9" t="n">
        <v>17.2</v>
      </c>
      <c r="C8" s="9" t="n">
        <v>24.94</v>
      </c>
      <c r="D8" s="23">
        <f>IF(ISNUMBER(C8),IF(B8&lt;=C8,"Samios","Reece"),"Samios")</f>
        <v/>
      </c>
      <c r="F8" s="4" t="inlineStr">
        <is>
          <t>Gas cock 15mm</t>
        </is>
      </c>
      <c r="G8" s="9" t="n">
        <v>7.41</v>
      </c>
      <c r="H8" s="9" t="n">
        <v>8.9</v>
      </c>
    </row>
    <row r="9">
      <c r="A9" s="3" t="inlineStr">
        <is>
          <t>DN32</t>
        </is>
      </c>
      <c r="B9" s="9" t="n">
        <v>25.5</v>
      </c>
      <c r="C9" s="9" t="n">
        <v>37.04</v>
      </c>
      <c r="D9" s="23">
        <f>IF(ISNUMBER(C9),IF(B9&lt;=C9,"Samios","Reece"),"Samios")</f>
        <v/>
      </c>
    </row>
    <row r="10">
      <c r="A10" s="3" t="inlineStr">
        <is>
          <t>DN40</t>
        </is>
      </c>
      <c r="B10" s="9" t="n">
        <v>31.69</v>
      </c>
      <c r="C10" s="24" t="inlineStr">
        <is>
          <t>n/a</t>
        </is>
      </c>
      <c r="D10" s="23">
        <f>IF(ISNUMBER(C10),IF(B10&lt;=C10,"Samios","Reece"),"Samios")</f>
        <v/>
      </c>
    </row>
    <row r="11">
      <c r="A11" s="3" t="inlineStr">
        <is>
          <t>DN50</t>
        </is>
      </c>
      <c r="B11" s="9" t="n">
        <v>42.17</v>
      </c>
      <c r="C11" s="24" t="inlineStr">
        <is>
          <t>n/a</t>
        </is>
      </c>
      <c r="D11" s="23">
        <f>IF(ISNUMBER(C11),IF(B11&lt;=C11,"Samios","Reece"),"Samios")</f>
        <v/>
      </c>
      <c r="F11" s="3" t="inlineStr">
        <is>
          <t>PEX / multilayer GAS pipe (future feature) — $/m</t>
        </is>
      </c>
    </row>
    <row r="12">
      <c r="F12" s="20" t="inlineStr">
        <is>
          <t>Product</t>
        </is>
      </c>
      <c r="G12" s="20" t="inlineStr">
        <is>
          <t>Size</t>
        </is>
      </c>
      <c r="H12" s="20" t="inlineStr">
        <is>
          <t>$/m</t>
        </is>
      </c>
    </row>
    <row r="13">
      <c r="A13" s="3" t="inlineStr">
        <is>
          <t>Gas press fittings — $ ea (standard 90° elbow / equal tee / coupler)</t>
        </is>
      </c>
      <c r="F13" s="4" t="inlineStr">
        <is>
          <t>Stesso (Samios)</t>
        </is>
      </c>
      <c r="G13" s="4" t="inlineStr">
        <is>
          <t>20mm</t>
        </is>
      </c>
      <c r="H13" s="9" t="n">
        <v>3.03</v>
      </c>
    </row>
    <row r="14">
      <c r="A14" s="7" t="inlineStr">
        <is>
          <t>Fitting</t>
        </is>
      </c>
      <c r="B14" s="7" t="inlineStr">
        <is>
          <t>Samios $</t>
        </is>
      </c>
      <c r="C14" s="7" t="inlineStr">
        <is>
          <t>Reece $</t>
        </is>
      </c>
      <c r="D14" s="7" t="inlineStr">
        <is>
          <t>Cheaper</t>
        </is>
      </c>
      <c r="F14" s="4" t="inlineStr">
        <is>
          <t>Auspex MLP (Reece)</t>
        </is>
      </c>
      <c r="G14" s="4" t="inlineStr">
        <is>
          <t>20mm</t>
        </is>
      </c>
      <c r="H14" s="9" t="n">
        <v>3.6</v>
      </c>
    </row>
    <row r="15">
      <c r="A15" s="4" t="inlineStr">
        <is>
          <t>Elbow 15mm</t>
        </is>
      </c>
      <c r="B15" s="9" t="n">
        <v>3.01</v>
      </c>
      <c r="C15" s="9" t="n">
        <v>5.53</v>
      </c>
      <c r="D15" s="25">
        <f>IF(B15&lt;=C15,"Samios","Reece")</f>
        <v/>
      </c>
      <c r="F15" s="4" t="inlineStr">
        <is>
          <t>Stesso (Samios)</t>
        </is>
      </c>
      <c r="G15" s="4" t="inlineStr">
        <is>
          <t>25mm</t>
        </is>
      </c>
      <c r="H15" s="9" t="n">
        <v>4.89</v>
      </c>
    </row>
    <row r="16">
      <c r="A16" s="4" t="inlineStr">
        <is>
          <t>Elbow 20mm</t>
        </is>
      </c>
      <c r="B16" s="9" t="n">
        <v>4.82</v>
      </c>
      <c r="C16" s="9" t="n">
        <v>8.5</v>
      </c>
      <c r="D16" s="25">
        <f>IF(B16&lt;=C16,"Samios","Reece")</f>
        <v/>
      </c>
    </row>
    <row r="17">
      <c r="A17" s="4" t="inlineStr">
        <is>
          <t>Elbow 25mm</t>
        </is>
      </c>
      <c r="B17" s="9" t="n">
        <v>6.72</v>
      </c>
      <c r="C17" s="9" t="n">
        <v>17.6</v>
      </c>
      <c r="D17" s="25">
        <f>IF(B17&lt;=C17,"Samios","Reece")</f>
        <v/>
      </c>
      <c r="F17" s="2" t="inlineStr">
        <is>
          <t>PEX ≈ ¼ of copper $/m — confirms big saving where PEX is allowed.</t>
        </is>
      </c>
    </row>
    <row r="18">
      <c r="A18" s="4" t="inlineStr">
        <is>
          <t>Tee 20mm</t>
        </is>
      </c>
      <c r="B18" s="9" t="n">
        <v>8.48</v>
      </c>
      <c r="C18" s="9" t="n">
        <v>11.66</v>
      </c>
      <c r="D18" s="25">
        <f>IF(B18&lt;=C18,"Samios","Reece")</f>
        <v/>
      </c>
    </row>
    <row r="19">
      <c r="A19" s="4" t="inlineStr">
        <is>
          <t>Tee 25mm</t>
        </is>
      </c>
      <c r="B19" s="9" t="n">
        <v>12.44</v>
      </c>
      <c r="C19" s="9" t="n">
        <v>18.32</v>
      </c>
      <c r="D19" s="25">
        <f>IF(B19&lt;=C19,"Samios","Reece")</f>
        <v/>
      </c>
    </row>
    <row r="20">
      <c r="A20" s="4" t="inlineStr">
        <is>
          <t>Coupler 20mm</t>
        </is>
      </c>
      <c r="B20" s="9" t="n">
        <v>3.27</v>
      </c>
      <c r="C20" s="9" t="n">
        <v>6.77</v>
      </c>
      <c r="D20" s="25">
        <f>IF(B20&lt;=C20,"Samios","Reece")</f>
        <v/>
      </c>
    </row>
    <row r="21">
      <c r="A21" s="4" t="inlineStr">
        <is>
          <t>Coupler 25mm</t>
        </is>
      </c>
      <c r="B21" s="9" t="n">
        <v>4.69</v>
      </c>
      <c r="C21" s="9" t="n">
        <v>8.51</v>
      </c>
      <c r="D21" s="25">
        <f>IF(B21&lt;=C21,"Samios","Reece")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4" customWidth="1" min="3" max="3"/>
    <col width="14" customWidth="1" min="4" max="4"/>
    <col width="12" customWidth="1" min="5" max="5"/>
    <col width="16" customWidth="1" min="6" max="6"/>
    <col width="15" customWidth="1" min="7" max="7"/>
  </cols>
  <sheetData>
    <row r="1">
      <c r="A1" s="13" t="inlineStr">
        <is>
          <t>Appliance connection &amp; meter — MATERIAL cost (ex GST). Add your labour/commissioning on top.</t>
        </is>
      </c>
    </row>
    <row r="3">
      <c r="A3" s="7" t="inlineStr">
        <is>
          <t>Appliance</t>
        </is>
      </c>
      <c r="B3" s="7" t="inlineStr">
        <is>
          <t>Isolation valve $</t>
        </is>
      </c>
      <c r="C3" s="7" t="inlineStr">
        <is>
          <t>Connector / flex / bayonet $</t>
        </is>
      </c>
      <c r="D3" s="7" t="inlineStr">
        <is>
          <t>Misc fittings $</t>
        </is>
      </c>
      <c r="E3" s="7" t="inlineStr">
        <is>
          <t>MATERIAL $</t>
        </is>
      </c>
      <c r="F3" s="7" t="inlineStr">
        <is>
          <t>Current app cost $</t>
        </is>
      </c>
      <c r="G3" s="7" t="inlineStr">
        <is>
          <t>Implied labour $</t>
        </is>
      </c>
    </row>
    <row r="4">
      <c r="A4" s="3" t="inlineStr">
        <is>
          <t>Cooktop</t>
        </is>
      </c>
      <c r="B4" s="9" t="n">
        <v>10.44</v>
      </c>
      <c r="C4" s="9" t="n">
        <v>21.39</v>
      </c>
      <c r="D4" s="9" t="n">
        <v>5</v>
      </c>
      <c r="E4" s="14">
        <f>B4+C4+D4</f>
        <v/>
      </c>
      <c r="F4" s="9" t="n">
        <v>120</v>
      </c>
      <c r="G4" s="10">
        <f>F4-E4</f>
        <v/>
      </c>
    </row>
    <row r="5">
      <c r="A5" s="3" t="inlineStr">
        <is>
          <t>Freestanding cooker</t>
        </is>
      </c>
      <c r="B5" s="9" t="n">
        <v>10.44</v>
      </c>
      <c r="C5" s="9" t="n">
        <v>43.06</v>
      </c>
      <c r="D5" s="9" t="n">
        <v>5</v>
      </c>
      <c r="E5" s="14">
        <f>B5+C5+D5</f>
        <v/>
      </c>
      <c r="F5" s="9" t="n">
        <v>145</v>
      </c>
      <c r="G5" s="10">
        <f>F5-E5</f>
        <v/>
      </c>
    </row>
    <row r="6">
      <c r="A6" s="3" t="inlineStr">
        <is>
          <t>Wall / space heater</t>
        </is>
      </c>
      <c r="B6" s="9" t="n">
        <v>10.44</v>
      </c>
      <c r="C6" s="9" t="n">
        <v>10</v>
      </c>
      <c r="D6" s="9" t="n">
        <v>5</v>
      </c>
      <c r="E6" s="14">
        <f>B6+C6+D6</f>
        <v/>
      </c>
      <c r="F6" s="9" t="n">
        <v>110</v>
      </c>
      <c r="G6" s="10">
        <f>F6-E6</f>
        <v/>
      </c>
    </row>
    <row r="7">
      <c r="A7" s="3" t="inlineStr">
        <is>
          <t>Ducted heater</t>
        </is>
      </c>
      <c r="B7" s="9" t="n">
        <v>10.44</v>
      </c>
      <c r="C7" s="9" t="n">
        <v>15</v>
      </c>
      <c r="D7" s="9" t="n">
        <v>5</v>
      </c>
      <c r="E7" s="14">
        <f>B7+C7+D7</f>
        <v/>
      </c>
      <c r="F7" s="9" t="n">
        <v>150</v>
      </c>
      <c r="G7" s="10">
        <f>F7-E7</f>
        <v/>
      </c>
    </row>
    <row r="8">
      <c r="A8" s="3" t="inlineStr">
        <is>
          <t>Storage HWS</t>
        </is>
      </c>
      <c r="B8" s="9" t="n">
        <v>10.44</v>
      </c>
      <c r="C8" s="9" t="n">
        <v>5</v>
      </c>
      <c r="D8" s="9" t="n">
        <v>8</v>
      </c>
      <c r="E8" s="14">
        <f>B8+C8+D8</f>
        <v/>
      </c>
      <c r="F8" s="9" t="n">
        <v>150</v>
      </c>
      <c r="G8" s="10">
        <f>F8-E8</f>
        <v/>
      </c>
    </row>
    <row r="9">
      <c r="A9" s="3" t="inlineStr">
        <is>
          <t>Instantaneous HWS</t>
        </is>
      </c>
      <c r="B9" s="9" t="n">
        <v>10.44</v>
      </c>
      <c r="C9" s="9" t="n">
        <v>5</v>
      </c>
      <c r="D9" s="9" t="n">
        <v>10</v>
      </c>
      <c r="E9" s="14">
        <f>B9+C9+D9</f>
        <v/>
      </c>
      <c r="F9" s="9" t="n">
        <v>165</v>
      </c>
      <c r="G9" s="10">
        <f>F9-E9</f>
        <v/>
      </c>
    </row>
    <row r="12">
      <c r="A12" s="3" t="inlineStr">
        <is>
          <t>Gas meter connection — materials</t>
        </is>
      </c>
    </row>
    <row r="13">
      <c r="A13" s="4" t="inlineStr">
        <is>
          <t>Meter adaptor 1"x1"</t>
        </is>
      </c>
      <c r="B13" s="9" t="n">
        <v>17.6</v>
      </c>
    </row>
    <row r="14">
      <c r="A14" s="4" t="inlineStr">
        <is>
          <t>Gas cock / isolation</t>
        </is>
      </c>
      <c r="B14" s="9" t="n">
        <v>7.41</v>
      </c>
    </row>
    <row r="15">
      <c r="A15" s="4" t="inlineStr">
        <is>
          <t>Copper tail (~2 m DN20)</t>
        </is>
      </c>
      <c r="B15" s="9" t="n">
        <v>22.96</v>
      </c>
    </row>
    <row r="16">
      <c r="A16" s="4" t="inlineStr">
        <is>
          <t>Misc fittings</t>
        </is>
      </c>
      <c r="B16" s="9" t="n">
        <v>5</v>
      </c>
    </row>
    <row r="17">
      <c r="A17" s="3" t="inlineStr">
        <is>
          <t>Meter material total</t>
        </is>
      </c>
      <c r="B17" s="15">
        <f>SUM(B13:B16)</f>
        <v/>
      </c>
    </row>
    <row r="18">
      <c r="A18" s="4" t="inlineStr">
        <is>
          <t>New meter box (only if required)</t>
        </is>
      </c>
      <c r="B18" s="16" t="n">
        <v>150.6</v>
      </c>
    </row>
    <row r="20">
      <c r="A20" s="2" t="inlineStr">
        <is>
          <t>Note: current app meter = $150 connection + $45 copper tail (mostly labour). Material confirms ~$53 + box if new.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3" t="inlineStr">
        <is>
          <t>Values to enter in the tool (Settings). copperRates = ALL-IN COST (the app adds margin).</t>
        </is>
      </c>
    </row>
    <row r="3">
      <c r="A3" s="3" t="inlineStr">
        <is>
          <t>copperRates ($/m, cost)</t>
        </is>
      </c>
    </row>
    <row r="4">
      <c r="A4" s="4" t="inlineStr">
        <is>
          <t>DN15</t>
        </is>
      </c>
      <c r="B4" s="17">
        <f>'Copper $ per m'!I13</f>
        <v/>
      </c>
    </row>
    <row r="5">
      <c r="A5" s="4" t="inlineStr">
        <is>
          <t>DN20</t>
        </is>
      </c>
      <c r="B5" s="17">
        <f>'Copper $ per m'!I14</f>
        <v/>
      </c>
    </row>
    <row r="6">
      <c r="A6" s="4" t="inlineStr">
        <is>
          <t>DN25</t>
        </is>
      </c>
      <c r="B6" s="17">
        <f>'Copper $ per m'!I15</f>
        <v/>
      </c>
    </row>
    <row r="7">
      <c r="A7" s="4" t="inlineStr">
        <is>
          <t>DN32</t>
        </is>
      </c>
      <c r="B7" s="17">
        <f>'Copper $ per m'!I16</f>
        <v/>
      </c>
    </row>
    <row r="8">
      <c r="A8" s="4" t="inlineStr">
        <is>
          <t>DN40</t>
        </is>
      </c>
      <c r="B8" s="17">
        <f>'Copper $ per m'!I17</f>
        <v/>
      </c>
    </row>
    <row r="9">
      <c r="A9" s="4" t="inlineStr">
        <is>
          <t>DN50</t>
        </is>
      </c>
      <c r="B9" s="17">
        <f>'Copper $ per m'!I18</f>
        <v/>
      </c>
    </row>
    <row r="11">
      <c r="A11" t="inlineStr">
        <is>
          <t>pipeWastePct</t>
        </is>
      </c>
      <c r="B11" s="18" t="n">
        <v>10</v>
      </c>
    </row>
    <row r="12">
      <c r="A12" t="inlineStr">
        <is>
          <t>margin %</t>
        </is>
      </c>
      <c r="B12" s="19">
        <f>'Copper $ per m'!B9</f>
        <v/>
      </c>
    </row>
    <row r="14">
      <c r="A14" s="12" t="inlineStr">
        <is>
          <t>Still needed from you: DN15 SKU confirm · labour rate ($/hr) + time per task · then we set call-out/labour/appliance/meter.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4" customWidth="1" min="5" max="5"/>
  </cols>
  <sheetData>
    <row r="1">
      <c r="A1" s="13" t="inlineStr">
        <is>
          <t>Your PEX/multilayer gas product in the Samios file = "PIPE STESSO GAS" (for the future copper-vs-PEX feature)</t>
        </is>
      </c>
    </row>
    <row r="3">
      <c r="A3" s="20" t="inlineStr">
        <is>
          <t>Size</t>
        </is>
      </c>
      <c r="B3" s="20" t="inlineStr">
        <is>
          <t>Coil</t>
        </is>
      </c>
      <c r="C3" s="20" t="inlineStr">
        <is>
          <t>Coil $</t>
        </is>
      </c>
      <c r="D3" s="20" t="inlineStr">
        <is>
          <t>$/m</t>
        </is>
      </c>
      <c r="E3" s="20" t="inlineStr">
        <is>
          <t>vs copper $/m</t>
        </is>
      </c>
    </row>
    <row r="4">
      <c r="A4" s="4" t="inlineStr">
        <is>
          <t>20mm</t>
        </is>
      </c>
      <c r="B4" s="4" t="inlineStr">
        <is>
          <t>50 m</t>
        </is>
      </c>
      <c r="C4" s="16" t="n">
        <v>151.47</v>
      </c>
      <c r="D4" s="21">
        <f>C4/50</f>
        <v/>
      </c>
      <c r="E4" s="22" t="n">
        <v>11.48</v>
      </c>
    </row>
    <row r="5">
      <c r="A5" s="4" t="inlineStr">
        <is>
          <t>25mm</t>
        </is>
      </c>
      <c r="B5" s="4" t="inlineStr">
        <is>
          <t>50 m</t>
        </is>
      </c>
      <c r="C5" s="16" t="n">
        <v>244.52</v>
      </c>
      <c r="D5" s="21">
        <f>C5/50</f>
        <v/>
      </c>
      <c r="E5" s="22" t="n">
        <v>17.2</v>
      </c>
    </row>
    <row r="6">
      <c r="A6" s="4" t="inlineStr">
        <is>
          <t>32mm</t>
        </is>
      </c>
      <c r="B6" s="4" t="inlineStr">
        <is>
          <t>25 m</t>
        </is>
      </c>
      <c r="C6" s="16" t="n">
        <v>180.13</v>
      </c>
      <c r="D6" s="21">
        <f>C6/25</f>
        <v/>
      </c>
      <c r="E6" s="22" t="n">
        <v>25.5</v>
      </c>
    </row>
    <row r="8">
      <c r="A8" s="2" t="inlineStr">
        <is>
          <t>PEX is ~¼ the per-metre cost of copper — confirms the mix will favour PEX where allowed (buried / under-house / in-roof).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2026-06-22T03:40:59Z</dcterms:created>
  <dcterms:modified xsi:type="dcterms:W3CDTF">2026-06-22T04:44:34Z</dcterms:modified>
</cp:coreProperties>
</file>